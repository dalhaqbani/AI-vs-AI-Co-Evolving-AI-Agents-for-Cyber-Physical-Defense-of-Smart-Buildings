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Class counts" sheetId="2" state="visible" r:id="rId2"/>
    <sheet name="Not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00%;-0.00%;-"/>
    <numFmt numFmtId="165" formatCode="#,##0.0"/>
  </numFmts>
  <fonts count="6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  <font>
      <name val="Arial"/>
      <color rgb="000000FF"/>
      <sz val="10"/>
    </font>
    <font>
      <name val="Arial"/>
      <b val="1"/>
      <sz val="10"/>
    </font>
    <font>
      <name val="Arial"/>
      <b val="1"/>
      <sz val="11"/>
    </font>
  </fonts>
  <fills count="3">
    <fill>
      <patternFill/>
    </fill>
    <fill>
      <patternFill patternType="gray125"/>
    </fill>
    <fill>
      <patternFill patternType="solid">
        <fgColor rgb="001F3864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2" borderId="0" applyAlignment="1" pivotButton="0" quotePrefix="0" xfId="0">
      <alignment horizontal="center" wrapText="1"/>
    </xf>
    <xf numFmtId="0" fontId="4" fillId="0" borderId="1" pivotButton="0" quotePrefix="0" xfId="0"/>
    <xf numFmtId="3" fontId="2" fillId="0" borderId="1" applyAlignment="1" pivotButton="0" quotePrefix="0" xfId="0">
      <alignment horizontal="right" vertical="center" wrapText="1"/>
    </xf>
    <xf numFmtId="10" fontId="2" fillId="0" borderId="1" applyAlignment="1" pivotButton="0" quotePrefix="0" xfId="0">
      <alignment horizontal="right" vertical="center" wrapText="1"/>
    </xf>
    <xf numFmtId="49" fontId="2" fillId="0" borderId="1" applyAlignment="1" pivotButton="0" quotePrefix="0" xfId="0">
      <alignment horizontal="center" vertical="center" wrapText="1"/>
    </xf>
    <xf numFmtId="165" fontId="2" fillId="0" borderId="1" applyAlignment="1" pivotButton="0" quotePrefix="0" xfId="0">
      <alignment horizontal="right" vertical="center" wrapText="1"/>
    </xf>
    <xf numFmtId="0" fontId="1" fillId="2" borderId="1" applyAlignment="1" pivotButton="0" quotePrefix="0" xfId="0">
      <alignment horizontal="center" wrapText="1"/>
    </xf>
    <xf numFmtId="0" fontId="2" fillId="0" borderId="1" pivotButton="0" quotePrefix="0" xfId="0"/>
    <xf numFmtId="3" fontId="3" fillId="0" borderId="1" pivotButton="0" quotePrefix="0" xfId="0"/>
    <xf numFmtId="164" fontId="2" fillId="0" borderId="1" pivotButton="0" quotePrefix="0" xfId="0"/>
    <xf numFmtId="3" fontId="4" fillId="0" borderId="1" pivotButton="0" quotePrefix="0" xfId="0"/>
    <xf numFmtId="3" fontId="2" fillId="0" borderId="1" pivotButton="0" quotePrefix="0" xfId="0"/>
    <xf numFmtId="0" fontId="5" fillId="0" borderId="0" pivotButton="0" quotePrefix="0" xfId="0"/>
    <xf numFmtId="0" fontId="2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cols>
    <col width="38" customWidth="1" min="1" max="1"/>
    <col width="30" customWidth="1" min="2" max="2"/>
  </cols>
  <sheetData>
    <row r="1">
      <c r="A1" s="1" t="inlineStr">
        <is>
          <t>Metric (collapsed 4 categories)</t>
        </is>
      </c>
      <c r="B1" s="1" t="inlineStr">
        <is>
          <t>CICIoT2023</t>
        </is>
      </c>
    </row>
    <row r="2">
      <c r="A2" s="2" t="inlineStr">
        <is>
          <t>Total rows</t>
        </is>
      </c>
      <c r="B2" s="3">
        <f>'Class counts'!B12</f>
        <v/>
      </c>
    </row>
    <row r="3">
      <c r="A3" s="2" t="inlineStr">
        <is>
          <t>Benign rows</t>
        </is>
      </c>
      <c r="B3" s="3">
        <f>'Class counts'!B15</f>
        <v/>
      </c>
    </row>
    <row r="4">
      <c r="A4" s="2" t="inlineStr">
        <is>
          <t>Attack rows</t>
        </is>
      </c>
      <c r="B4" s="3">
        <f>B2-B3</f>
        <v/>
      </c>
    </row>
    <row r="5">
      <c r="A5" s="2" t="inlineStr">
        <is>
          <t>Benign share</t>
        </is>
      </c>
      <c r="B5" s="4">
        <f>B3/B2</f>
        <v/>
      </c>
    </row>
    <row r="6">
      <c r="A6" s="2" t="inlineStr">
        <is>
          <t>Attack share</t>
        </is>
      </c>
      <c r="B6" s="4">
        <f>B4/B2</f>
        <v/>
      </c>
    </row>
    <row r="7">
      <c r="A7" s="2" t="inlineStr">
        <is>
          <t>Largest class (rows)</t>
        </is>
      </c>
      <c r="B7" s="3">
        <f>MAX('Class counts'!$B$15:$B$18)</f>
        <v/>
      </c>
    </row>
    <row r="8">
      <c r="A8" s="2" t="inlineStr">
        <is>
          <t>Largest class (name)</t>
        </is>
      </c>
      <c r="B8" s="5">
        <f>INDEX('Class counts'!$A$15:$A$18,MATCH(B7,'Class counts'!$B$15:$B$18,0))</f>
        <v/>
      </c>
    </row>
    <row r="9">
      <c r="A9" s="2" t="inlineStr">
        <is>
          <t>Smallest class (rows)</t>
        </is>
      </c>
      <c r="B9" s="3">
        <f>MIN('Class counts'!$B$15:$B$18)</f>
        <v/>
      </c>
    </row>
    <row r="10">
      <c r="A10" s="2" t="inlineStr">
        <is>
          <t>Smallest class (name)</t>
        </is>
      </c>
      <c r="B10" s="5">
        <f>INDEX('Class counts'!$A$15:$A$18,MATCH(B9,'Class counts'!$B$15:$B$18,0))</f>
        <v/>
      </c>
    </row>
    <row r="11">
      <c r="A11" s="2" t="inlineStr">
        <is>
          <t>Imbalance ratio (largest / smallest)</t>
        </is>
      </c>
      <c r="B11" s="6">
        <f>IF(B9=0,"n/a: a class has no rows",B7/B9)</f>
        <v/>
      </c>
    </row>
    <row r="12" ht="30" customHeight="1">
      <c r="A12" s="2" t="inlineStr">
        <is>
          <t>Flag: benign class</t>
        </is>
      </c>
      <c r="B12" s="5">
        <f>IF(B5&lt;0.05,"Benign under 5%: resample or weight","OK")</f>
        <v/>
      </c>
    </row>
    <row r="13" ht="30" customHeight="1">
      <c r="A13" s="2" t="inlineStr">
        <is>
          <t>Flag: smallest class</t>
        </is>
      </c>
      <c r="B13" s="5">
        <f>IF(B9&lt;100,"Under 100 rows: score unreliable","OK")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cols>
    <col width="24" customWidth="1" min="1" max="1"/>
    <col width="16" customWidth="1" min="2" max="2"/>
    <col width="22" customWidth="1" min="3" max="3"/>
    <col width="16" customWidth="1" min="4" max="4"/>
  </cols>
  <sheetData>
    <row r="1">
      <c r="A1" s="7" t="inlineStr">
        <is>
          <t>Raw label</t>
        </is>
      </c>
      <c r="B1" s="7" t="inlineStr">
        <is>
          <t>Rows</t>
        </is>
      </c>
      <c r="C1" s="7" t="inlineStr">
        <is>
          <t>Collapsed category</t>
        </is>
      </c>
      <c r="D1" s="7" t="inlineStr">
        <is>
          <t>Share of total</t>
        </is>
      </c>
    </row>
    <row r="2">
      <c r="A2" s="8" t="inlineStr">
        <is>
          <t>DDoS-TCP_Flood</t>
        </is>
      </c>
      <c r="B2" s="9" t="n">
        <v>4497667</v>
      </c>
      <c r="C2" s="8" t="inlineStr">
        <is>
          <t>flood</t>
        </is>
      </c>
      <c r="D2" s="10">
        <f>B2/$B$12</f>
        <v/>
      </c>
    </row>
    <row r="3">
      <c r="A3" s="8" t="inlineStr">
        <is>
          <t>DDoS-SYN_Flood</t>
        </is>
      </c>
      <c r="B3" s="9" t="n">
        <v>4059190</v>
      </c>
      <c r="C3" s="8" t="inlineStr">
        <is>
          <t>flood</t>
        </is>
      </c>
      <c r="D3" s="10">
        <f>B3/$B$12</f>
        <v/>
      </c>
    </row>
    <row r="4">
      <c r="A4" s="8" t="inlineStr">
        <is>
          <t>DDoS-UDP_Flood</t>
        </is>
      </c>
      <c r="B4" s="9" t="n">
        <v>5412287</v>
      </c>
      <c r="C4" s="8" t="inlineStr">
        <is>
          <t>flood</t>
        </is>
      </c>
      <c r="D4" s="10">
        <f>B4/$B$12</f>
        <v/>
      </c>
    </row>
    <row r="5">
      <c r="A5" s="8" t="inlineStr">
        <is>
          <t>DoS-TCP_Flood</t>
        </is>
      </c>
      <c r="B5" s="9" t="n">
        <v>2671445</v>
      </c>
      <c r="C5" s="8" t="inlineStr">
        <is>
          <t>flood</t>
        </is>
      </c>
      <c r="D5" s="10">
        <f>B5/$B$12</f>
        <v/>
      </c>
    </row>
    <row r="6">
      <c r="A6" s="8" t="inlineStr">
        <is>
          <t>DoS-SYN_Flood</t>
        </is>
      </c>
      <c r="B6" s="9" t="n">
        <v>2028834</v>
      </c>
      <c r="C6" s="8" t="inlineStr">
        <is>
          <t>flood</t>
        </is>
      </c>
      <c r="D6" s="10">
        <f>B6/$B$12</f>
        <v/>
      </c>
    </row>
    <row r="7">
      <c r="A7" s="8" t="inlineStr">
        <is>
          <t>DoS-UDP_Flood</t>
        </is>
      </c>
      <c r="B7" s="9" t="n">
        <v>3318595</v>
      </c>
      <c r="C7" s="8" t="inlineStr">
        <is>
          <t>flood</t>
        </is>
      </c>
      <c r="D7" s="10">
        <f>B7/$B$12</f>
        <v/>
      </c>
    </row>
    <row r="8">
      <c r="A8" s="8" t="inlineStr">
        <is>
          <t>DNS_Spoofing</t>
        </is>
      </c>
      <c r="B8" s="9" t="n">
        <v>178911</v>
      </c>
      <c r="C8" s="8" t="inlineStr">
        <is>
          <t>spoofing</t>
        </is>
      </c>
      <c r="D8" s="10">
        <f>B8/$B$12</f>
        <v/>
      </c>
    </row>
    <row r="9">
      <c r="A9" s="8" t="inlineStr">
        <is>
          <t>MITM-ArpSpoofing</t>
        </is>
      </c>
      <c r="B9" s="9" t="n">
        <v>307593</v>
      </c>
      <c r="C9" s="8" t="inlineStr">
        <is>
          <t>spoofing</t>
        </is>
      </c>
      <c r="D9" s="10">
        <f>B9/$B$12</f>
        <v/>
      </c>
    </row>
    <row r="10">
      <c r="A10" s="8" t="inlineStr">
        <is>
          <t>CommandInjection</t>
        </is>
      </c>
      <c r="B10" s="9" t="n">
        <v>5409</v>
      </c>
      <c r="C10" s="8" t="inlineStr">
        <is>
          <t>command_injection</t>
        </is>
      </c>
      <c r="D10" s="10">
        <f>B10/$B$12</f>
        <v/>
      </c>
    </row>
    <row r="11">
      <c r="A11" s="8" t="inlineStr">
        <is>
          <t>BenignTraffic</t>
        </is>
      </c>
      <c r="B11" s="9" t="n">
        <v>1098195</v>
      </c>
      <c r="C11" s="8" t="inlineStr">
        <is>
          <t>benign</t>
        </is>
      </c>
      <c r="D11" s="10">
        <f>B11/$B$12</f>
        <v/>
      </c>
    </row>
    <row r="12">
      <c r="A12" s="2" t="inlineStr">
        <is>
          <t>Total rows</t>
        </is>
      </c>
      <c r="B12" s="11">
        <f>SUM(B2:B11)</f>
        <v/>
      </c>
    </row>
    <row r="14">
      <c r="A14" s="7" t="inlineStr">
        <is>
          <t>Collapsed category</t>
        </is>
      </c>
      <c r="B14" s="7" t="inlineStr">
        <is>
          <t>Rows</t>
        </is>
      </c>
      <c r="C14" s="7" t="inlineStr">
        <is>
          <t>Share of total</t>
        </is>
      </c>
    </row>
    <row r="15">
      <c r="A15" s="8" t="inlineStr">
        <is>
          <t>benign</t>
        </is>
      </c>
      <c r="B15" s="12">
        <f>SUMIF($C$2:$C$11,A15,$B$2:$B$11)</f>
        <v/>
      </c>
      <c r="C15" s="10">
        <f>B15/$B$12</f>
        <v/>
      </c>
    </row>
    <row r="16">
      <c r="A16" s="8" t="inlineStr">
        <is>
          <t>flood</t>
        </is>
      </c>
      <c r="B16" s="12">
        <f>SUMIF($C$2:$C$11,A16,$B$2:$B$11)</f>
        <v/>
      </c>
      <c r="C16" s="10">
        <f>B16/$B$12</f>
        <v/>
      </c>
    </row>
    <row r="17">
      <c r="A17" s="8" t="inlineStr">
        <is>
          <t>spoofing</t>
        </is>
      </c>
      <c r="B17" s="12">
        <f>SUMIF($C$2:$C$11,A17,$B$2:$B$11)</f>
        <v/>
      </c>
      <c r="C17" s="10">
        <f>B17/$B$12</f>
        <v/>
      </c>
    </row>
    <row r="18">
      <c r="A18" s="8" t="inlineStr">
        <is>
          <t>command_injection</t>
        </is>
      </c>
      <c r="B18" s="12">
        <f>SUMIF($C$2:$C$11,A18,$B$2:$B$11)</f>
        <v/>
      </c>
      <c r="C18" s="10">
        <f>B18/$B$12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cols>
    <col width="110" customWidth="1" min="1" max="1"/>
  </cols>
  <sheetData>
    <row r="1">
      <c r="A1" s="13" t="inlineStr">
        <is>
          <t>Source and assumptions</t>
        </is>
      </c>
    </row>
    <row r="2">
      <c r="A2" s="14" t="inlineStr">
        <is>
          <t>Counts come from ciciot2023_filtered_clean.csv (23,578,126 rows), read in chunks of 1,000,000 rows using the 'label' column only.</t>
        </is>
      </c>
    </row>
    <row r="3">
      <c r="A3" s="14" t="inlineStr">
        <is>
          <t>Raw label counts on the Class counts sheet are typed inputs (blue). Every other number is a formula that recalculates from them.</t>
        </is>
      </c>
    </row>
    <row r="4">
      <c r="A4" s="14" t="inlineStr">
        <is>
          <t>The 10 raw labels collapse into 4 categories using the same map as the cleaning notebook: 6 flood types -&gt; flood, DNS_Spoofing and MITM-ArpSpoofing -&gt; spoofing, CommandInjection -&gt; command_injection, BenignTraffic -&gt; benign.</t>
        </is>
      </c>
    </row>
    <row r="5">
      <c r="A5" s="14" t="inlineStr">
        <is>
          <t>All shares, flags and the imbalance ratio on the Summary sheet are computed on the collapsed 4, which is what the watchdog (Layer 1) trains on.</t>
        </is>
      </c>
    </row>
    <row r="6">
      <c r="A6" s="14" t="inlineStr">
        <is>
          <t>Imbalance ratio = largest collapsed class / smallest collapsed class.</t>
        </is>
      </c>
    </row>
    <row r="7">
      <c r="A7" s="14" t="inlineStr">
        <is>
          <t>CICIoT2023 is network flow data, so it benchmarks the network watchdog (Layer 1) only. The physical-consistency checker (Layer 2) uses the synthetic sensor-value attacks.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2026-10-21T15:58:13Z</dcterms:created>
  <dcterms:modified xsi:type="dcterms:W3CDTF">2026-10-21T15:58:13Z</dcterms:modified>
</cp:coreProperties>
</file>